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enichi.yamamoto\Documents\wk_src\timesheet-api\templates\Excel_templates\"/>
    </mc:Choice>
  </mc:AlternateContent>
  <xr:revisionPtr revIDLastSave="0" documentId="13_ncr:1_{935B9F14-0B47-4066-96C3-B095CCFA59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M月" sheetId="26" r:id="rId1"/>
  </sheets>
  <definedNames>
    <definedName name="_xlnm.Print_Area" localSheetId="0">MM月!$A$1:$K$44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26" l="1"/>
  <c r="C44" i="26"/>
  <c r="F44" i="26"/>
  <c r="A13" i="26" l="1"/>
  <c r="B13" i="26" s="1"/>
  <c r="I2" i="26" l="1"/>
  <c r="A14" i="26" l="1"/>
  <c r="B14" i="26" s="1"/>
  <c r="A15" i="26" l="1"/>
  <c r="B15" i="26" s="1"/>
  <c r="A16" i="26" l="1"/>
  <c r="A17" i="26" s="1"/>
  <c r="B16" i="26" l="1"/>
  <c r="A18" i="26"/>
  <c r="B17" i="26"/>
  <c r="A19" i="26" l="1"/>
  <c r="B18" i="26"/>
  <c r="B19" i="26" l="1"/>
  <c r="A20" i="26"/>
  <c r="A21" i="26" s="1"/>
  <c r="A22" i="26" l="1"/>
  <c r="B21" i="26"/>
  <c r="B20" i="26"/>
  <c r="A23" i="26" l="1"/>
  <c r="B22" i="26"/>
  <c r="B23" i="26" l="1"/>
  <c r="A24" i="26"/>
  <c r="A25" i="26" l="1"/>
  <c r="B24" i="26"/>
  <c r="A26" i="26" l="1"/>
  <c r="A27" i="26" s="1"/>
  <c r="A28" i="26" s="1"/>
  <c r="B25" i="26"/>
  <c r="A29" i="26" l="1"/>
  <c r="B28" i="26"/>
  <c r="B27" i="26"/>
  <c r="B26" i="26"/>
  <c r="A30" i="26" l="1"/>
  <c r="B29" i="26"/>
  <c r="A31" i="26" l="1"/>
  <c r="B30" i="26"/>
  <c r="A32" i="26" l="1"/>
  <c r="B31" i="26"/>
  <c r="A33" i="26" l="1"/>
  <c r="B32" i="26"/>
  <c r="A34" i="26" l="1"/>
  <c r="B33" i="26"/>
  <c r="B34" i="26" l="1"/>
  <c r="A35" i="26"/>
  <c r="A36" i="26" l="1"/>
  <c r="B35" i="26"/>
  <c r="A37" i="26" l="1"/>
  <c r="B36" i="26"/>
  <c r="A38" i="26" l="1"/>
  <c r="B37" i="26"/>
  <c r="B38" i="26" l="1"/>
  <c r="A39" i="26"/>
  <c r="A40" i="26" s="1"/>
  <c r="B40" i="26" l="1"/>
  <c r="A41" i="26"/>
  <c r="B39" i="26"/>
  <c r="B41" i="26" l="1"/>
  <c r="A42" i="26"/>
  <c r="B42" i="26" l="1"/>
  <c r="A43" i="26"/>
  <c r="B43" i="26" s="1"/>
</calcChain>
</file>

<file path=xl/sharedStrings.xml><?xml version="1.0" encoding="utf-8"?>
<sst xmlns="http://schemas.openxmlformats.org/spreadsheetml/2006/main" count="30" uniqueCount="27">
  <si>
    <t>月次タイムシート</t>
    <phoneticPr fontId="2"/>
  </si>
  <si>
    <t>派遣就業場所</t>
    <rPh sb="0" eb="2">
      <t>ハケン</t>
    </rPh>
    <rPh sb="2" eb="4">
      <t>シュウギョウ</t>
    </rPh>
    <rPh sb="4" eb="6">
      <t>バショ</t>
    </rPh>
    <phoneticPr fontId="2"/>
  </si>
  <si>
    <t>名　称</t>
    <rPh sb="0" eb="1">
      <t>ナ</t>
    </rPh>
    <rPh sb="2" eb="3">
      <t>ショウ</t>
    </rPh>
    <phoneticPr fontId="2"/>
  </si>
  <si>
    <t>出光興産株式会社</t>
    <rPh sb="0" eb="2">
      <t>イデミツ</t>
    </rPh>
    <rPh sb="2" eb="4">
      <t>コウサン</t>
    </rPh>
    <rPh sb="4" eb="8">
      <t>カブ</t>
    </rPh>
    <phoneticPr fontId="2"/>
  </si>
  <si>
    <t>就業場所</t>
    <rPh sb="0" eb="2">
      <t>シュウギョウ</t>
    </rPh>
    <rPh sb="2" eb="4">
      <t>バショ</t>
    </rPh>
    <phoneticPr fontId="2"/>
  </si>
  <si>
    <t>部署名</t>
    <rPh sb="0" eb="2">
      <t>ブショ</t>
    </rPh>
    <rPh sb="2" eb="3">
      <t>メイ</t>
    </rPh>
    <phoneticPr fontId="2"/>
  </si>
  <si>
    <t>デジタル・ICT推進部</t>
    <rPh sb="8" eb="11">
      <t>スイシンブ</t>
    </rPh>
    <phoneticPr fontId="2"/>
  </si>
  <si>
    <t>組織単位</t>
    <rPh sb="0" eb="2">
      <t>ソシキ</t>
    </rPh>
    <rPh sb="2" eb="4">
      <t>タンイ</t>
    </rPh>
    <phoneticPr fontId="2"/>
  </si>
  <si>
    <t>派遣労働者氏名</t>
    <rPh sb="0" eb="2">
      <t>ハケン</t>
    </rPh>
    <rPh sb="2" eb="5">
      <t>ロウドウシャ</t>
    </rPh>
    <rPh sb="5" eb="7">
      <t>シメイ</t>
    </rPh>
    <phoneticPr fontId="2"/>
  </si>
  <si>
    <t>氏　名</t>
    <rPh sb="0" eb="1">
      <t>シ</t>
    </rPh>
    <rPh sb="2" eb="3">
      <t>ナ</t>
    </rPh>
    <phoneticPr fontId="2"/>
  </si>
  <si>
    <t>アクセンチュア株式会社</t>
    <phoneticPr fontId="2"/>
  </si>
  <si>
    <t>作業期間</t>
    <rPh sb="0" eb="2">
      <t>サギョウ</t>
    </rPh>
    <rPh sb="2" eb="4">
      <t>キカン</t>
    </rPh>
    <phoneticPr fontId="2"/>
  </si>
  <si>
    <t>～</t>
    <phoneticPr fontId="2"/>
  </si>
  <si>
    <t>責任の程度</t>
    <rPh sb="0" eb="2">
      <t>セキニン</t>
    </rPh>
    <rPh sb="3" eb="5">
      <t>テイド</t>
    </rPh>
    <phoneticPr fontId="2"/>
  </si>
  <si>
    <t>企画・運用担当者（役職、決裁権限は無し）</t>
    <phoneticPr fontId="2"/>
  </si>
  <si>
    <t>日</t>
  </si>
  <si>
    <t>曜</t>
  </si>
  <si>
    <t>作業内容</t>
    <phoneticPr fontId="2"/>
  </si>
  <si>
    <t>ACN業務</t>
    <rPh sb="3" eb="5">
      <t>ギョウム</t>
    </rPh>
    <phoneticPr fontId="3"/>
  </si>
  <si>
    <t>始業時間</t>
  </si>
  <si>
    <t>終業時間</t>
  </si>
  <si>
    <t>休憩時間</t>
    <rPh sb="0" eb="2">
      <t>キュウケイ</t>
    </rPh>
    <rPh sb="2" eb="4">
      <t>ジカン</t>
    </rPh>
    <phoneticPr fontId="2"/>
  </si>
  <si>
    <t>就業時間</t>
    <rPh sb="0" eb="2">
      <t>シュウギョウ</t>
    </rPh>
    <phoneticPr fontId="2"/>
  </si>
  <si>
    <t>実働日</t>
  </si>
  <si>
    <t>時間</t>
  </si>
  <si>
    <t>超過時間</t>
    <rPh sb="0" eb="2">
      <t>チョウカ</t>
    </rPh>
    <rPh sb="2" eb="4">
      <t>ジカン</t>
    </rPh>
    <phoneticPr fontId="2"/>
  </si>
  <si>
    <t>東京都千代田区大手町一丁目 2 番 1 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</si>
</sst>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"/>
  </numFmts>
  <fonts count="11" x14ac:knownFonts="1"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Arial"/>
      <family val="2"/>
      <charset val="128"/>
    </font>
    <font>
      <sz val="10"/>
      <color theme="1"/>
      <name val="Arial"/>
      <family val="2"/>
      <charset val="128"/>
    </font>
    <font>
      <b/>
      <sz val="16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2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4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49" fontId="5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6" fillId="0" borderId="0" xfId="1" applyFont="1" applyAlignment="1">
      <alignment vertical="center"/>
    </xf>
    <xf numFmtId="0" fontId="8" fillId="0" borderId="2" xfId="1" applyFont="1" applyBorder="1" applyAlignment="1">
      <alignment horizontal="center" vertical="center"/>
    </xf>
    <xf numFmtId="49" fontId="8" fillId="0" borderId="10" xfId="1" applyNumberFormat="1" applyFont="1" applyBorder="1" applyAlignment="1">
      <alignment horizontal="center" vertical="center"/>
    </xf>
    <xf numFmtId="14" fontId="8" fillId="0" borderId="10" xfId="1" applyNumberFormat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49" fontId="6" fillId="2" borderId="1" xfId="1" applyNumberFormat="1" applyFont="1" applyFill="1" applyBorder="1" applyAlignment="1">
      <alignment horizontal="centerContinuous" vertical="center"/>
    </xf>
    <xf numFmtId="0" fontId="6" fillId="2" borderId="1" xfId="1" applyFont="1" applyFill="1" applyBorder="1" applyAlignment="1">
      <alignment horizontal="centerContinuous" vertical="center"/>
    </xf>
    <xf numFmtId="0" fontId="6" fillId="2" borderId="2" xfId="1" applyFont="1" applyFill="1" applyBorder="1" applyAlignment="1">
      <alignment horizontal="centerContinuous" vertical="center"/>
    </xf>
    <xf numFmtId="0" fontId="6" fillId="2" borderId="2" xfId="1" applyFont="1" applyFill="1" applyBorder="1" applyAlignment="1">
      <alignment horizontal="centerContinuous" vertical="center" shrinkToFit="1"/>
    </xf>
    <xf numFmtId="0" fontId="6" fillId="2" borderId="12" xfId="1" applyFont="1" applyFill="1" applyBorder="1" applyAlignment="1">
      <alignment horizontal="centerContinuous" vertical="center"/>
    </xf>
    <xf numFmtId="176" fontId="6" fillId="0" borderId="9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Continuous" vertical="center"/>
    </xf>
    <xf numFmtId="0" fontId="9" fillId="0" borderId="9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20" fontId="10" fillId="0" borderId="9" xfId="1" applyNumberFormat="1" applyFont="1" applyBorder="1" applyAlignment="1">
      <alignment vertical="center"/>
    </xf>
    <xf numFmtId="20" fontId="10" fillId="0" borderId="13" xfId="1" applyNumberFormat="1" applyFont="1" applyBorder="1" applyAlignment="1">
      <alignment vertical="center"/>
    </xf>
    <xf numFmtId="20" fontId="6" fillId="0" borderId="0" xfId="1" applyNumberFormat="1" applyFont="1" applyAlignment="1">
      <alignment vertical="center"/>
    </xf>
    <xf numFmtId="38" fontId="10" fillId="0" borderId="1" xfId="2" applyFont="1" applyFill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20" fontId="10" fillId="0" borderId="1" xfId="1" applyNumberFormat="1" applyFont="1" applyBorder="1" applyAlignment="1">
      <alignment vertical="center"/>
    </xf>
    <xf numFmtId="2" fontId="10" fillId="0" borderId="1" xfId="1" applyNumberFormat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8" fillId="3" borderId="9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49" fontId="7" fillId="3" borderId="1" xfId="1" applyNumberFormat="1" applyFont="1" applyFill="1" applyBorder="1" applyAlignment="1">
      <alignment horizontal="left" vertical="center"/>
    </xf>
    <xf numFmtId="49" fontId="7" fillId="3" borderId="2" xfId="1" applyNumberFormat="1" applyFont="1" applyFill="1" applyBorder="1" applyAlignment="1">
      <alignment horizontal="left" vertical="center"/>
    </xf>
    <xf numFmtId="49" fontId="7" fillId="3" borderId="3" xfId="1" applyNumberFormat="1" applyFont="1" applyFill="1" applyBorder="1" applyAlignment="1">
      <alignment horizontal="left" vertical="center"/>
    </xf>
    <xf numFmtId="49" fontId="8" fillId="3" borderId="5" xfId="1" applyNumberFormat="1" applyFont="1" applyFill="1" applyBorder="1" applyAlignment="1">
      <alignment horizontal="center" vertical="center"/>
    </xf>
    <xf numFmtId="49" fontId="8" fillId="3" borderId="6" xfId="1" applyNumberFormat="1" applyFont="1" applyFill="1" applyBorder="1" applyAlignment="1">
      <alignment horizontal="center" vertical="center"/>
    </xf>
    <xf numFmtId="49" fontId="8" fillId="3" borderId="7" xfId="1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49" fontId="8" fillId="3" borderId="4" xfId="1" applyNumberFormat="1" applyFont="1" applyFill="1" applyBorder="1" applyAlignment="1">
      <alignment horizontal="center" vertical="center"/>
    </xf>
    <xf numFmtId="49" fontId="8" fillId="3" borderId="0" xfId="1" applyNumberFormat="1" applyFont="1" applyFill="1" applyAlignment="1">
      <alignment horizontal="center" vertical="center"/>
    </xf>
    <xf numFmtId="49" fontId="8" fillId="3" borderId="8" xfId="1" applyNumberFormat="1" applyFont="1" applyFill="1" applyBorder="1" applyAlignment="1">
      <alignment horizontal="center" vertical="center"/>
    </xf>
    <xf numFmtId="14" fontId="8" fillId="4" borderId="1" xfId="1" applyNumberFormat="1" applyFont="1" applyFill="1" applyBorder="1" applyAlignment="1">
      <alignment horizontal="center" vertical="center"/>
    </xf>
    <xf numFmtId="14" fontId="8" fillId="4" borderId="2" xfId="1" applyNumberFormat="1" applyFont="1" applyFill="1" applyBorder="1" applyAlignment="1">
      <alignment horizontal="center" vertical="center"/>
    </xf>
    <xf numFmtId="14" fontId="8" fillId="4" borderId="3" xfId="1" applyNumberFormat="1" applyFont="1" applyFill="1" applyBorder="1" applyAlignment="1">
      <alignment horizontal="center" vertical="center"/>
    </xf>
    <xf numFmtId="14" fontId="6" fillId="0" borderId="4" xfId="1" applyNumberFormat="1" applyFont="1" applyBorder="1" applyAlignment="1">
      <alignment horizontal="right" vertical="center"/>
    </xf>
    <xf numFmtId="14" fontId="6" fillId="0" borderId="0" xfId="1" applyNumberFormat="1" applyFont="1" applyAlignment="1">
      <alignment horizontal="right"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</cellXfs>
  <cellStyles count="3">
    <cellStyle name="桁区切り 2" xfId="2" xr:uid="{00000000-0005-0000-0000-000000000000}"/>
    <cellStyle name="標準" xfId="0" builtinId="0"/>
    <cellStyle name="標準 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4"/>
  <sheetViews>
    <sheetView showGridLines="0" tabSelected="1" view="pageBreakPreview" zoomScale="85" zoomScaleNormal="100" zoomScaleSheetLayoutView="85" workbookViewId="0"/>
  </sheetViews>
  <sheetFormatPr defaultColWidth="7.26953125" defaultRowHeight="15" x14ac:dyDescent="0.3"/>
  <cols>
    <col min="1" max="1" width="3.08984375" style="26" customWidth="1"/>
    <col min="2" max="2" width="3.08984375" style="3" customWidth="1"/>
    <col min="3" max="3" width="7.453125" style="3" customWidth="1"/>
    <col min="4" max="7" width="8.08984375" style="3" customWidth="1"/>
    <col min="8" max="8" width="7.453125" style="3" bestFit="1" customWidth="1"/>
    <col min="9" max="10" width="7.453125" style="3" customWidth="1"/>
    <col min="11" max="11" width="7.453125" style="3" bestFit="1" customWidth="1"/>
    <col min="12" max="14" width="7.26953125" style="3" customWidth="1"/>
    <col min="15" max="16384" width="7.26953125" style="3"/>
  </cols>
  <sheetData>
    <row r="1" spans="1:13" ht="25.3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3" ht="18" customHeight="1" x14ac:dyDescent="0.3">
      <c r="A2" s="40" t="s">
        <v>1</v>
      </c>
      <c r="B2" s="41"/>
      <c r="C2" s="41"/>
      <c r="D2" s="41"/>
      <c r="E2" s="41"/>
      <c r="F2" s="41"/>
      <c r="G2" s="41"/>
      <c r="H2" s="42"/>
      <c r="I2" s="57">
        <f>G9+1</f>
        <v>1</v>
      </c>
      <c r="J2" s="58"/>
      <c r="K2" s="58"/>
    </row>
    <row r="3" spans="1:13" ht="18" customHeight="1" x14ac:dyDescent="0.3">
      <c r="A3" s="59" t="s">
        <v>2</v>
      </c>
      <c r="B3" s="60"/>
      <c r="C3" s="61"/>
      <c r="D3" s="62" t="s">
        <v>3</v>
      </c>
      <c r="E3" s="63"/>
      <c r="F3" s="63"/>
      <c r="G3" s="63"/>
      <c r="H3" s="64"/>
    </row>
    <row r="4" spans="1:13" ht="18" customHeight="1" x14ac:dyDescent="0.3">
      <c r="A4" s="31" t="s">
        <v>4</v>
      </c>
      <c r="B4" s="32"/>
      <c r="C4" s="33"/>
      <c r="D4" s="34" t="s">
        <v>26</v>
      </c>
      <c r="E4" s="35"/>
      <c r="F4" s="35"/>
      <c r="G4" s="35"/>
      <c r="H4" s="36"/>
    </row>
    <row r="5" spans="1:13" ht="18" customHeight="1" x14ac:dyDescent="0.3">
      <c r="A5" s="31" t="s">
        <v>5</v>
      </c>
      <c r="B5" s="32"/>
      <c r="C5" s="33"/>
      <c r="D5" s="34" t="s">
        <v>6</v>
      </c>
      <c r="E5" s="35"/>
      <c r="F5" s="35"/>
      <c r="G5" s="35"/>
      <c r="H5" s="36"/>
    </row>
    <row r="6" spans="1:13" ht="18" customHeight="1" x14ac:dyDescent="0.3">
      <c r="A6" s="37" t="s">
        <v>7</v>
      </c>
      <c r="B6" s="38"/>
      <c r="C6" s="39"/>
      <c r="D6" s="34"/>
      <c r="E6" s="35"/>
      <c r="F6" s="35"/>
      <c r="G6" s="35"/>
      <c r="H6" s="36"/>
    </row>
    <row r="7" spans="1:13" ht="18" customHeight="1" x14ac:dyDescent="0.3">
      <c r="A7" s="40" t="s">
        <v>8</v>
      </c>
      <c r="B7" s="41"/>
      <c r="C7" s="41"/>
      <c r="D7" s="41"/>
      <c r="E7" s="41"/>
      <c r="F7" s="41"/>
      <c r="G7" s="41"/>
      <c r="H7" s="42"/>
    </row>
    <row r="8" spans="1:13" ht="18" customHeight="1" x14ac:dyDescent="0.3">
      <c r="A8" s="43" t="s">
        <v>9</v>
      </c>
      <c r="B8" s="44"/>
      <c r="C8" s="45"/>
      <c r="D8" s="46"/>
      <c r="E8" s="47"/>
      <c r="F8" s="48" t="s">
        <v>10</v>
      </c>
      <c r="G8" s="49"/>
      <c r="H8" s="50"/>
    </row>
    <row r="9" spans="1:13" ht="18" customHeight="1" x14ac:dyDescent="0.3">
      <c r="A9" s="51" t="s">
        <v>11</v>
      </c>
      <c r="B9" s="52"/>
      <c r="C9" s="53"/>
      <c r="D9" s="54"/>
      <c r="E9" s="55"/>
      <c r="F9" s="4" t="s">
        <v>12</v>
      </c>
      <c r="G9" s="55"/>
      <c r="H9" s="56"/>
    </row>
    <row r="10" spans="1:13" ht="18" customHeight="1" x14ac:dyDescent="0.3">
      <c r="A10" s="37" t="s">
        <v>13</v>
      </c>
      <c r="B10" s="38"/>
      <c r="C10" s="39"/>
      <c r="D10" s="34" t="s">
        <v>14</v>
      </c>
      <c r="E10" s="35"/>
      <c r="F10" s="35"/>
      <c r="G10" s="35"/>
      <c r="H10" s="36"/>
    </row>
    <row r="11" spans="1:13" ht="15" customHeight="1" x14ac:dyDescent="0.3">
      <c r="A11" s="5"/>
      <c r="B11" s="5"/>
      <c r="C11" s="6"/>
      <c r="D11" s="6"/>
      <c r="E11" s="7"/>
      <c r="F11" s="6"/>
      <c r="G11" s="6"/>
    </row>
    <row r="12" spans="1:13" ht="19.350000000000001" customHeight="1" x14ac:dyDescent="0.3">
      <c r="A12" s="8" t="s">
        <v>15</v>
      </c>
      <c r="B12" s="9" t="s">
        <v>16</v>
      </c>
      <c r="C12" s="9" t="s">
        <v>17</v>
      </c>
      <c r="D12" s="10"/>
      <c r="E12" s="10"/>
      <c r="F12" s="10"/>
      <c r="G12" s="11" t="s">
        <v>18</v>
      </c>
      <c r="H12" s="9" t="s">
        <v>19</v>
      </c>
      <c r="I12" s="9" t="s">
        <v>20</v>
      </c>
      <c r="J12" s="12" t="s">
        <v>21</v>
      </c>
      <c r="K12" s="12" t="s">
        <v>22</v>
      </c>
    </row>
    <row r="13" spans="1:13" ht="19.350000000000001" customHeight="1" x14ac:dyDescent="0.3">
      <c r="A13" s="13">
        <f>D9</f>
        <v>0</v>
      </c>
      <c r="B13" s="14" t="str">
        <f>IF(A13="","",CHOOSE(WEEKDAY(A13),"日","月","火","水","木","金","土"))</f>
        <v>土</v>
      </c>
      <c r="C13" s="15"/>
      <c r="D13" s="16"/>
      <c r="E13" s="16"/>
      <c r="F13" s="16"/>
      <c r="G13" s="27"/>
      <c r="H13" s="17"/>
      <c r="I13" s="17"/>
      <c r="J13" s="18"/>
      <c r="K13" s="18"/>
      <c r="M13" s="19"/>
    </row>
    <row r="14" spans="1:13" ht="19.350000000000001" customHeight="1" x14ac:dyDescent="0.3">
      <c r="A14" s="13">
        <f>A13+1</f>
        <v>1</v>
      </c>
      <c r="B14" s="14" t="str">
        <f t="shared" ref="B14:B20" si="0">IF(A14="","",CHOOSE(WEEKDAY(A14),"日","月","火","水","木","金","土"))</f>
        <v>日</v>
      </c>
      <c r="C14" s="15"/>
      <c r="D14" s="16"/>
      <c r="E14" s="16"/>
      <c r="F14" s="16"/>
      <c r="G14" s="27"/>
      <c r="H14" s="17"/>
      <c r="I14" s="17"/>
      <c r="J14" s="18"/>
      <c r="K14" s="18"/>
      <c r="M14" s="19"/>
    </row>
    <row r="15" spans="1:13" ht="19.350000000000001" customHeight="1" x14ac:dyDescent="0.3">
      <c r="A15" s="13">
        <f>A14+1</f>
        <v>2</v>
      </c>
      <c r="B15" s="14" t="str">
        <f t="shared" si="0"/>
        <v>月</v>
      </c>
      <c r="C15" s="15"/>
      <c r="D15" s="16"/>
      <c r="E15" s="16"/>
      <c r="F15" s="16"/>
      <c r="G15" s="27"/>
      <c r="H15" s="17"/>
      <c r="I15" s="17"/>
      <c r="J15" s="18"/>
      <c r="K15" s="18"/>
      <c r="M15" s="19"/>
    </row>
    <row r="16" spans="1:13" ht="19.350000000000001" customHeight="1" x14ac:dyDescent="0.3">
      <c r="A16" s="13">
        <f>A15+1</f>
        <v>3</v>
      </c>
      <c r="B16" s="14" t="str">
        <f t="shared" si="0"/>
        <v>火</v>
      </c>
      <c r="C16" s="15"/>
      <c r="D16" s="16"/>
      <c r="E16" s="16"/>
      <c r="F16" s="16"/>
      <c r="G16" s="27"/>
      <c r="H16" s="17"/>
      <c r="I16" s="17"/>
      <c r="J16" s="18"/>
      <c r="K16" s="18"/>
      <c r="M16" s="19"/>
    </row>
    <row r="17" spans="1:13" ht="19.350000000000001" customHeight="1" x14ac:dyDescent="0.3">
      <c r="A17" s="13">
        <f>A16+1</f>
        <v>4</v>
      </c>
      <c r="B17" s="14" t="str">
        <f t="shared" si="0"/>
        <v>水</v>
      </c>
      <c r="C17" s="15"/>
      <c r="D17" s="16"/>
      <c r="E17" s="16"/>
      <c r="F17" s="16"/>
      <c r="G17" s="27"/>
      <c r="H17" s="17"/>
      <c r="I17" s="17"/>
      <c r="J17" s="18"/>
      <c r="K17" s="18"/>
      <c r="M17" s="19"/>
    </row>
    <row r="18" spans="1:13" ht="19.350000000000001" customHeight="1" x14ac:dyDescent="0.3">
      <c r="A18" s="13">
        <f>A17+1</f>
        <v>5</v>
      </c>
      <c r="B18" s="14" t="str">
        <f t="shared" si="0"/>
        <v>木</v>
      </c>
      <c r="C18" s="15"/>
      <c r="D18" s="16"/>
      <c r="E18" s="16"/>
      <c r="F18" s="16"/>
      <c r="G18" s="27"/>
      <c r="H18" s="17"/>
      <c r="I18" s="17"/>
      <c r="J18" s="18"/>
      <c r="K18" s="18"/>
      <c r="M18" s="19"/>
    </row>
    <row r="19" spans="1:13" ht="19.350000000000001" customHeight="1" x14ac:dyDescent="0.3">
      <c r="A19" s="13">
        <f t="shared" ref="A19:A20" si="1">A18+1</f>
        <v>6</v>
      </c>
      <c r="B19" s="14" t="str">
        <f t="shared" si="0"/>
        <v>金</v>
      </c>
      <c r="C19" s="15"/>
      <c r="D19" s="16"/>
      <c r="E19" s="16"/>
      <c r="F19" s="16"/>
      <c r="G19" s="27"/>
      <c r="H19" s="17"/>
      <c r="I19" s="17"/>
      <c r="J19" s="18"/>
      <c r="K19" s="18"/>
      <c r="M19" s="19"/>
    </row>
    <row r="20" spans="1:13" ht="19.350000000000001" customHeight="1" x14ac:dyDescent="0.3">
      <c r="A20" s="13">
        <f t="shared" si="1"/>
        <v>7</v>
      </c>
      <c r="B20" s="14" t="str">
        <f t="shared" si="0"/>
        <v>土</v>
      </c>
      <c r="C20" s="15"/>
      <c r="D20" s="16"/>
      <c r="E20" s="16"/>
      <c r="F20" s="16"/>
      <c r="G20" s="27"/>
      <c r="H20" s="17"/>
      <c r="I20" s="17"/>
      <c r="J20" s="18"/>
      <c r="K20" s="18"/>
      <c r="M20" s="19"/>
    </row>
    <row r="21" spans="1:13" ht="19.350000000000001" customHeight="1" x14ac:dyDescent="0.3">
      <c r="A21" s="13">
        <f>A20+1</f>
        <v>8</v>
      </c>
      <c r="B21" s="14" t="str">
        <f t="shared" ref="B21:B27" si="2">IF(A21="","",CHOOSE(WEEKDAY(A21),"日","月","火","水","木","金","土"))</f>
        <v>日</v>
      </c>
      <c r="C21" s="15"/>
      <c r="D21" s="16"/>
      <c r="E21" s="16"/>
      <c r="F21" s="16"/>
      <c r="G21" s="27"/>
      <c r="H21" s="17"/>
      <c r="I21" s="17"/>
      <c r="J21" s="18"/>
      <c r="K21" s="18"/>
      <c r="M21" s="19"/>
    </row>
    <row r="22" spans="1:13" ht="19.350000000000001" customHeight="1" x14ac:dyDescent="0.3">
      <c r="A22" s="13">
        <f>A21+1</f>
        <v>9</v>
      </c>
      <c r="B22" s="14" t="str">
        <f t="shared" si="2"/>
        <v>月</v>
      </c>
      <c r="C22" s="15"/>
      <c r="D22" s="16"/>
      <c r="E22" s="16"/>
      <c r="F22" s="16"/>
      <c r="G22" s="27"/>
      <c r="H22" s="17"/>
      <c r="I22" s="17"/>
      <c r="J22" s="18"/>
      <c r="K22" s="18"/>
      <c r="M22" s="19"/>
    </row>
    <row r="23" spans="1:13" ht="19.350000000000001" customHeight="1" x14ac:dyDescent="0.3">
      <c r="A23" s="13">
        <f>A22+1</f>
        <v>10</v>
      </c>
      <c r="B23" s="14" t="str">
        <f t="shared" si="2"/>
        <v>火</v>
      </c>
      <c r="C23" s="15"/>
      <c r="D23" s="16"/>
      <c r="E23" s="16"/>
      <c r="F23" s="16"/>
      <c r="G23" s="27"/>
      <c r="H23" s="17"/>
      <c r="I23" s="17"/>
      <c r="J23" s="18"/>
      <c r="K23" s="18"/>
      <c r="M23" s="19"/>
    </row>
    <row r="24" spans="1:13" ht="19.350000000000001" customHeight="1" x14ac:dyDescent="0.3">
      <c r="A24" s="13">
        <f>A23+1</f>
        <v>11</v>
      </c>
      <c r="B24" s="14" t="str">
        <f t="shared" si="2"/>
        <v>水</v>
      </c>
      <c r="C24" s="15"/>
      <c r="D24" s="16"/>
      <c r="E24" s="16"/>
      <c r="F24" s="16"/>
      <c r="G24" s="27"/>
      <c r="H24" s="17"/>
      <c r="I24" s="17"/>
      <c r="J24" s="18"/>
      <c r="K24" s="18"/>
      <c r="M24" s="19"/>
    </row>
    <row r="25" spans="1:13" ht="19.350000000000001" customHeight="1" x14ac:dyDescent="0.3">
      <c r="A25" s="13">
        <f>A24+1</f>
        <v>12</v>
      </c>
      <c r="B25" s="14" t="str">
        <f t="shared" si="2"/>
        <v>木</v>
      </c>
      <c r="C25" s="15"/>
      <c r="D25" s="16"/>
      <c r="E25" s="16"/>
      <c r="F25" s="16"/>
      <c r="G25" s="27"/>
      <c r="H25" s="17"/>
      <c r="I25" s="17"/>
      <c r="J25" s="18"/>
      <c r="K25" s="18"/>
      <c r="M25" s="19"/>
    </row>
    <row r="26" spans="1:13" ht="19.350000000000001" customHeight="1" x14ac:dyDescent="0.3">
      <c r="A26" s="13">
        <f t="shared" ref="A26:A31" si="3">A25+1</f>
        <v>13</v>
      </c>
      <c r="B26" s="14" t="str">
        <f t="shared" si="2"/>
        <v>金</v>
      </c>
      <c r="C26" s="15"/>
      <c r="D26" s="16"/>
      <c r="E26" s="16"/>
      <c r="F26" s="16"/>
      <c r="G26" s="27"/>
      <c r="H26" s="17"/>
      <c r="I26" s="17"/>
      <c r="J26" s="18"/>
      <c r="K26" s="18"/>
      <c r="M26" s="19"/>
    </row>
    <row r="27" spans="1:13" ht="19.350000000000001" customHeight="1" x14ac:dyDescent="0.3">
      <c r="A27" s="13">
        <f t="shared" si="3"/>
        <v>14</v>
      </c>
      <c r="B27" s="14" t="str">
        <f t="shared" si="2"/>
        <v>土</v>
      </c>
      <c r="C27" s="15"/>
      <c r="D27" s="16"/>
      <c r="E27" s="16"/>
      <c r="F27" s="16"/>
      <c r="G27" s="27"/>
      <c r="H27" s="17"/>
      <c r="I27" s="17"/>
      <c r="J27" s="18"/>
      <c r="K27" s="18"/>
      <c r="M27" s="19"/>
    </row>
    <row r="28" spans="1:13" ht="19.350000000000001" customHeight="1" x14ac:dyDescent="0.3">
      <c r="A28" s="13">
        <f t="shared" si="3"/>
        <v>15</v>
      </c>
      <c r="B28" s="14" t="str">
        <f>IF(A28="","",CHOOSE(WEEKDAY(A28),"日","月","火","水","木","金","土"))</f>
        <v>日</v>
      </c>
      <c r="C28" s="15"/>
      <c r="D28" s="16"/>
      <c r="E28" s="16"/>
      <c r="F28" s="16"/>
      <c r="G28" s="27"/>
      <c r="H28" s="17"/>
      <c r="I28" s="17"/>
      <c r="J28" s="18"/>
      <c r="K28" s="18"/>
      <c r="M28" s="19"/>
    </row>
    <row r="29" spans="1:13" ht="19.350000000000001" customHeight="1" x14ac:dyDescent="0.3">
      <c r="A29" s="13">
        <f t="shared" si="3"/>
        <v>16</v>
      </c>
      <c r="B29" s="14" t="str">
        <f t="shared" ref="B29:B39" si="4">IF(A29="","",CHOOSE(WEEKDAY(A29),"日","月","火","水","木","金","土"))</f>
        <v>月</v>
      </c>
      <c r="C29" s="15"/>
      <c r="D29" s="16"/>
      <c r="E29" s="16"/>
      <c r="F29" s="16"/>
      <c r="G29" s="27"/>
      <c r="H29" s="17"/>
      <c r="I29" s="17"/>
      <c r="J29" s="18"/>
      <c r="K29" s="18"/>
      <c r="M29" s="19"/>
    </row>
    <row r="30" spans="1:13" ht="19.350000000000001" customHeight="1" x14ac:dyDescent="0.3">
      <c r="A30" s="13">
        <f t="shared" si="3"/>
        <v>17</v>
      </c>
      <c r="B30" s="14" t="str">
        <f t="shared" si="4"/>
        <v>火</v>
      </c>
      <c r="C30" s="15"/>
      <c r="D30" s="16"/>
      <c r="E30" s="16"/>
      <c r="F30" s="16"/>
      <c r="G30" s="27"/>
      <c r="H30" s="17"/>
      <c r="I30" s="17"/>
      <c r="J30" s="18"/>
      <c r="K30" s="18"/>
      <c r="M30" s="19"/>
    </row>
    <row r="31" spans="1:13" ht="19.350000000000001" customHeight="1" x14ac:dyDescent="0.3">
      <c r="A31" s="13">
        <f t="shared" si="3"/>
        <v>18</v>
      </c>
      <c r="B31" s="14" t="str">
        <f t="shared" si="4"/>
        <v>水</v>
      </c>
      <c r="C31" s="15"/>
      <c r="D31" s="16"/>
      <c r="E31" s="16"/>
      <c r="F31" s="16"/>
      <c r="G31" s="27"/>
      <c r="H31" s="17"/>
      <c r="I31" s="17"/>
      <c r="J31" s="18"/>
      <c r="K31" s="18"/>
      <c r="M31" s="19"/>
    </row>
    <row r="32" spans="1:13" ht="19.350000000000001" customHeight="1" x14ac:dyDescent="0.3">
      <c r="A32" s="13">
        <f>A31+1</f>
        <v>19</v>
      </c>
      <c r="B32" s="14" t="str">
        <f t="shared" si="4"/>
        <v>木</v>
      </c>
      <c r="C32" s="15"/>
      <c r="D32" s="16"/>
      <c r="E32" s="16"/>
      <c r="F32" s="16"/>
      <c r="G32" s="27"/>
      <c r="H32" s="17"/>
      <c r="I32" s="17"/>
      <c r="J32" s="18"/>
      <c r="K32" s="18"/>
      <c r="M32" s="19"/>
    </row>
    <row r="33" spans="1:13" ht="19.350000000000001" customHeight="1" x14ac:dyDescent="0.3">
      <c r="A33" s="13">
        <f>A32+1</f>
        <v>20</v>
      </c>
      <c r="B33" s="14" t="str">
        <f t="shared" si="4"/>
        <v>金</v>
      </c>
      <c r="C33" s="15"/>
      <c r="D33" s="16"/>
      <c r="E33" s="16"/>
      <c r="F33" s="16"/>
      <c r="G33" s="27"/>
      <c r="H33" s="17"/>
      <c r="I33" s="17"/>
      <c r="J33" s="18"/>
      <c r="K33" s="18"/>
      <c r="M33" s="19"/>
    </row>
    <row r="34" spans="1:13" ht="19.350000000000001" customHeight="1" x14ac:dyDescent="0.3">
      <c r="A34" s="13">
        <f t="shared" ref="A34:A35" si="5">A33+1</f>
        <v>21</v>
      </c>
      <c r="B34" s="14" t="str">
        <f t="shared" si="4"/>
        <v>土</v>
      </c>
      <c r="C34" s="15"/>
      <c r="D34" s="16"/>
      <c r="E34" s="16"/>
      <c r="F34" s="16"/>
      <c r="G34" s="27"/>
      <c r="H34" s="17"/>
      <c r="I34" s="17"/>
      <c r="J34" s="18"/>
      <c r="K34" s="18"/>
      <c r="M34" s="19"/>
    </row>
    <row r="35" spans="1:13" ht="19.350000000000001" customHeight="1" x14ac:dyDescent="0.3">
      <c r="A35" s="13">
        <f t="shared" si="5"/>
        <v>22</v>
      </c>
      <c r="B35" s="14" t="str">
        <f t="shared" si="4"/>
        <v>日</v>
      </c>
      <c r="C35" s="15"/>
      <c r="D35" s="16"/>
      <c r="E35" s="16"/>
      <c r="F35" s="16"/>
      <c r="G35" s="27"/>
      <c r="H35" s="17"/>
      <c r="I35" s="17"/>
      <c r="J35" s="18"/>
      <c r="K35" s="18"/>
      <c r="M35" s="19"/>
    </row>
    <row r="36" spans="1:13" ht="19.350000000000001" customHeight="1" x14ac:dyDescent="0.3">
      <c r="A36" s="13">
        <f>A35+1</f>
        <v>23</v>
      </c>
      <c r="B36" s="14" t="str">
        <f t="shared" si="4"/>
        <v>月</v>
      </c>
      <c r="C36" s="15"/>
      <c r="D36" s="16"/>
      <c r="E36" s="16"/>
      <c r="F36" s="16"/>
      <c r="G36" s="27"/>
      <c r="H36" s="17"/>
      <c r="I36" s="17"/>
      <c r="J36" s="18"/>
      <c r="K36" s="18"/>
      <c r="M36" s="19"/>
    </row>
    <row r="37" spans="1:13" ht="19.350000000000001" customHeight="1" x14ac:dyDescent="0.3">
      <c r="A37" s="13">
        <f>A36+1</f>
        <v>24</v>
      </c>
      <c r="B37" s="14" t="str">
        <f t="shared" si="4"/>
        <v>火</v>
      </c>
      <c r="C37" s="15"/>
      <c r="D37" s="16"/>
      <c r="E37" s="16"/>
      <c r="F37" s="16"/>
      <c r="G37" s="27"/>
      <c r="H37" s="17"/>
      <c r="I37" s="17"/>
      <c r="J37" s="18"/>
      <c r="K37" s="18"/>
      <c r="M37" s="19"/>
    </row>
    <row r="38" spans="1:13" ht="19.350000000000001" customHeight="1" x14ac:dyDescent="0.3">
      <c r="A38" s="13">
        <f>A37+1</f>
        <v>25</v>
      </c>
      <c r="B38" s="14" t="str">
        <f t="shared" si="4"/>
        <v>水</v>
      </c>
      <c r="C38" s="15"/>
      <c r="D38" s="16"/>
      <c r="E38" s="16"/>
      <c r="F38" s="16"/>
      <c r="G38" s="27"/>
      <c r="H38" s="17"/>
      <c r="I38" s="17"/>
      <c r="J38" s="18"/>
      <c r="K38" s="18"/>
      <c r="M38" s="19"/>
    </row>
    <row r="39" spans="1:13" ht="19.350000000000001" customHeight="1" x14ac:dyDescent="0.3">
      <c r="A39" s="13">
        <f>A38+1</f>
        <v>26</v>
      </c>
      <c r="B39" s="14" t="str">
        <f t="shared" si="4"/>
        <v>木</v>
      </c>
      <c r="C39" s="15"/>
      <c r="D39" s="16"/>
      <c r="E39" s="16"/>
      <c r="F39" s="16"/>
      <c r="G39" s="27"/>
      <c r="H39" s="17"/>
      <c r="I39" s="17"/>
      <c r="J39" s="18"/>
      <c r="K39" s="18"/>
      <c r="M39" s="19"/>
    </row>
    <row r="40" spans="1:13" ht="19.350000000000001" customHeight="1" x14ac:dyDescent="0.3">
      <c r="A40" s="13">
        <f t="shared" ref="A40:A41" si="6">A39+1</f>
        <v>27</v>
      </c>
      <c r="B40" s="14" t="str">
        <f t="shared" ref="B40:B43" si="7">IF(A40="","",CHOOSE(WEEKDAY(A40),"日","月","火","水","木","金","土"))</f>
        <v>金</v>
      </c>
      <c r="C40" s="15"/>
      <c r="D40" s="16"/>
      <c r="E40" s="16"/>
      <c r="F40" s="16"/>
      <c r="G40" s="27"/>
      <c r="H40" s="17"/>
      <c r="I40" s="17"/>
      <c r="J40" s="18"/>
      <c r="K40" s="18"/>
      <c r="M40" s="19"/>
    </row>
    <row r="41" spans="1:13" ht="19.350000000000001" customHeight="1" x14ac:dyDescent="0.3">
      <c r="A41" s="13">
        <f t="shared" si="6"/>
        <v>28</v>
      </c>
      <c r="B41" s="14" t="str">
        <f t="shared" si="7"/>
        <v>土</v>
      </c>
      <c r="C41" s="15"/>
      <c r="D41" s="16"/>
      <c r="E41" s="16"/>
      <c r="F41" s="16"/>
      <c r="G41" s="27"/>
      <c r="H41" s="17"/>
      <c r="I41" s="17"/>
      <c r="J41" s="18"/>
      <c r="K41" s="18"/>
      <c r="M41" s="19"/>
    </row>
    <row r="42" spans="1:13" ht="19.350000000000001" customHeight="1" x14ac:dyDescent="0.3">
      <c r="A42" s="13">
        <f>A41+1</f>
        <v>29</v>
      </c>
      <c r="B42" s="14" t="str">
        <f t="shared" si="7"/>
        <v>日</v>
      </c>
      <c r="C42" s="15"/>
      <c r="D42" s="16"/>
      <c r="E42" s="16"/>
      <c r="F42" s="16"/>
      <c r="G42" s="28"/>
      <c r="H42" s="17"/>
      <c r="I42" s="17"/>
      <c r="J42" s="18"/>
      <c r="K42" s="18"/>
      <c r="M42" s="19"/>
    </row>
    <row r="43" spans="1:13" ht="19.350000000000001" customHeight="1" x14ac:dyDescent="0.3">
      <c r="A43" s="13">
        <f>A42+1</f>
        <v>30</v>
      </c>
      <c r="B43" s="14" t="str">
        <f t="shared" si="7"/>
        <v>月</v>
      </c>
      <c r="C43" s="15"/>
      <c r="D43" s="16"/>
      <c r="E43" s="16"/>
      <c r="F43" s="16"/>
      <c r="G43" s="28"/>
      <c r="H43" s="17"/>
      <c r="I43" s="17"/>
      <c r="J43" s="18"/>
      <c r="K43" s="18"/>
      <c r="M43" s="19"/>
    </row>
    <row r="44" spans="1:13" ht="19.350000000000001" customHeight="1" x14ac:dyDescent="0.3">
      <c r="A44" s="29" t="s">
        <v>23</v>
      </c>
      <c r="B44" s="30"/>
      <c r="C44" s="20">
        <f>COUNTA(H13:H43)</f>
        <v>0</v>
      </c>
      <c r="D44" s="21" t="s">
        <v>15</v>
      </c>
      <c r="E44" s="22" t="s">
        <v>22</v>
      </c>
      <c r="F44" s="23">
        <f>(SUM(K13:K43)/TIME(1,,))</f>
        <v>0</v>
      </c>
      <c r="G44" s="21" t="s">
        <v>24</v>
      </c>
      <c r="H44" s="22" t="s">
        <v>25</v>
      </c>
      <c r="I44" s="24">
        <f>MAX(0, $F$44 - $C$44 * "8:00")</f>
        <v>0</v>
      </c>
      <c r="J44" s="25" t="s">
        <v>24</v>
      </c>
    </row>
  </sheetData>
  <mergeCells count="20">
    <mergeCell ref="A2:H2"/>
    <mergeCell ref="I2:K2"/>
    <mergeCell ref="A3:C3"/>
    <mergeCell ref="D3:H3"/>
    <mergeCell ref="A4:C4"/>
    <mergeCell ref="D4:H4"/>
    <mergeCell ref="A44:B44"/>
    <mergeCell ref="A5:C5"/>
    <mergeCell ref="D5:H5"/>
    <mergeCell ref="A6:C6"/>
    <mergeCell ref="D6:H6"/>
    <mergeCell ref="A7:H7"/>
    <mergeCell ref="A8:C8"/>
    <mergeCell ref="D8:E8"/>
    <mergeCell ref="F8:H8"/>
    <mergeCell ref="A9:C9"/>
    <mergeCell ref="D9:E9"/>
    <mergeCell ref="G9:H9"/>
    <mergeCell ref="A10:C10"/>
    <mergeCell ref="D10:H10"/>
  </mergeCells>
  <phoneticPr fontId="3"/>
  <printOptions horizontalCentered="1"/>
  <pageMargins left="0.78740157480314965" right="0.78740157480314965" top="0.78740157480314965" bottom="0.19685039370078741" header="0.51181102362204722" footer="0.11811023622047245"/>
  <pageSetup paperSize="9" scale="93" orientation="portrait" horizontalDpi="300" verticalDpi="300" r:id="rId1"/>
  <headerFooter alignWithMargins="0">
    <oddHeader>&amp;R&amp;"Arial,太字"&amp;12&amp;K00-049Highly Confidential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dd5c7a-2dc9-4280-9104-0c5c090f8913">
      <Terms xmlns="http://schemas.microsoft.com/office/infopath/2007/PartnerControls"/>
    </lcf76f155ced4ddcb4097134ff3c332f>
    <TaxCatchAll xmlns="49da8719-5195-4d58-b9e3-040d669e38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57A2BAE3FEB488DD90F3CEEBA64B2" ma:contentTypeVersion="12" ma:contentTypeDescription="Create a new document." ma:contentTypeScope="" ma:versionID="5f1653939578ce63f276984d74f7b80f">
  <xsd:schema xmlns:xsd="http://www.w3.org/2001/XMLSchema" xmlns:xs="http://www.w3.org/2001/XMLSchema" xmlns:p="http://schemas.microsoft.com/office/2006/metadata/properties" xmlns:ns2="fddd5c7a-2dc9-4280-9104-0c5c090f8913" xmlns:ns3="49da8719-5195-4d58-b9e3-040d669e384e" targetNamespace="http://schemas.microsoft.com/office/2006/metadata/properties" ma:root="true" ma:fieldsID="31f706c199e200b5ceeaeb3f8c022435" ns2:_="" ns3:_="">
    <xsd:import namespace="fddd5c7a-2dc9-4280-9104-0c5c090f8913"/>
    <xsd:import namespace="49da8719-5195-4d58-b9e3-040d669e38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d5c7a-2dc9-4280-9104-0c5c090f8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da8719-5195-4d58-b9e3-040d669e384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32581b2-8772-4b5d-aa5c-eb974f8e2128}" ma:internalName="TaxCatchAll" ma:showField="CatchAllData" ma:web="49da8719-5195-4d58-b9e3-040d669e3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A8AE5A-FCD2-4F3B-B711-AC3CFBE815ED}">
  <ds:schemaRefs>
    <ds:schemaRef ds:uri="http://schemas.microsoft.com/office/2006/metadata/properties"/>
    <ds:schemaRef ds:uri="http://schemas.microsoft.com/office/infopath/2007/PartnerControls"/>
    <ds:schemaRef ds:uri="43eb3a32-fd45-4fa4-b7b4-e786cec62659"/>
    <ds:schemaRef ds:uri="fddd5c7a-2dc9-4280-9104-0c5c090f8913"/>
    <ds:schemaRef ds:uri="49da8719-5195-4d58-b9e3-040d669e384e"/>
  </ds:schemaRefs>
</ds:datastoreItem>
</file>

<file path=customXml/itemProps2.xml><?xml version="1.0" encoding="utf-8"?>
<ds:datastoreItem xmlns:ds="http://schemas.openxmlformats.org/officeDocument/2006/customXml" ds:itemID="{27D2DB86-FB68-473C-AC36-38170BDA14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d5c7a-2dc9-4280-9104-0c5c090f8913"/>
    <ds:schemaRef ds:uri="49da8719-5195-4d58-b9e3-040d669e38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C41F5C-CAF1-47CB-985C-96AFA693AE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MM月</vt:lpstr>
      <vt:lpstr>MM月!Print_Area</vt:lpstr>
    </vt:vector>
  </TitlesOfParts>
  <Manager/>
  <Company>出光興産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Yuki Fukaya</dc:creator>
  <cp:keywords/>
  <dc:description/>
  <cp:lastModifiedBy>Yamamoto, Kenichi</cp:lastModifiedBy>
  <cp:revision/>
  <dcterms:created xsi:type="dcterms:W3CDTF">2020-02-04T06:52:21Z</dcterms:created>
  <dcterms:modified xsi:type="dcterms:W3CDTF">2026-03-02T08:26:46Z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0x010100DC957A2BAE3FEB488DD90F3CEEBA64B2</vt:lpwstr>
  </property>
  <property fmtid="{D5CDD505-2E9C-101B-9397-08002B2CF9AE}" pid="3" name="MediaServiceImageTags">
    <vt:lpwstr/>
  </property>
</Properties>
</file>